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dfaisan.hussain\Downloads\IUA\"/>
    </mc:Choice>
  </mc:AlternateContent>
  <xr:revisionPtr revIDLastSave="0" documentId="13_ncr:1_{A255A574-F625-47AE-8D3C-81D7C9E8956E}" xr6:coauthVersionLast="36" xr6:coauthVersionMax="47" xr10:uidLastSave="{00000000-0000-0000-0000-000000000000}"/>
  <bookViews>
    <workbookView xWindow="-105" yWindow="-105" windowWidth="19425" windowHeight="10305" activeTab="1" xr2:uid="{00000000-000D-0000-FFFF-FFFF00000000}"/>
  </bookViews>
  <sheets>
    <sheet name="GPON" sheetId="5" r:id="rId1"/>
    <sheet name="Measurement" sheetId="2" r:id="rId2"/>
    <sheet name="Nesa" sheetId="3" r:id="rId3"/>
    <sheet name="POL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" i="2" l="1"/>
  <c r="Q3" i="2"/>
  <c r="Q4" i="2"/>
  <c r="Q5" i="2"/>
  <c r="Q6" i="2"/>
  <c r="Q7" i="2"/>
  <c r="Q8" i="2"/>
  <c r="Q9" i="2"/>
  <c r="Q2" i="2"/>
  <c r="M10" i="2"/>
  <c r="M4" i="2"/>
  <c r="M5" i="2"/>
  <c r="M6" i="2"/>
  <c r="M7" i="2"/>
  <c r="M8" i="2"/>
  <c r="M9" i="2"/>
  <c r="M3" i="2"/>
  <c r="J4" i="2"/>
  <c r="J5" i="2"/>
  <c r="J6" i="2"/>
  <c r="J7" i="2"/>
  <c r="J8" i="2"/>
  <c r="J9" i="2"/>
  <c r="J3" i="2" l="1"/>
  <c r="J10" i="2" l="1"/>
</calcChain>
</file>

<file path=xl/sharedStrings.xml><?xml version="1.0" encoding="utf-8"?>
<sst xmlns="http://schemas.openxmlformats.org/spreadsheetml/2006/main" count="786" uniqueCount="159">
  <si>
    <t>Pole No.</t>
  </si>
  <si>
    <t>ODF NO.</t>
  </si>
  <si>
    <t>ODF IN</t>
  </si>
  <si>
    <t>MSAN</t>
  </si>
  <si>
    <t>GPON SLOT</t>
  </si>
  <si>
    <t>GPON CARD PORT</t>
  </si>
  <si>
    <t>P_OBD</t>
  </si>
  <si>
    <t>Primary Splitter Capacity</t>
  </si>
  <si>
    <t>Cable-C1/C2</t>
  </si>
  <si>
    <t>CIRCLE</t>
  </si>
  <si>
    <t>CITY NAME</t>
  </si>
  <si>
    <t>RSU</t>
  </si>
  <si>
    <t>FROM NE</t>
  </si>
  <si>
    <t>TO NE</t>
  </si>
  <si>
    <t>NE TYPE</t>
  </si>
  <si>
    <t>OTDR</t>
  </si>
  <si>
    <t>Total 96 Fiber used in Mtrs</t>
  </si>
  <si>
    <t>Total 48 Fiber used in Mtrs</t>
  </si>
  <si>
    <t>Total 24 Fiber used in Mtrs</t>
  </si>
  <si>
    <t>Total 12 Fiber used in Mtrs</t>
  </si>
  <si>
    <t>Total 6 Fiber used in Mtrs</t>
  </si>
  <si>
    <t>Total Fiber in Mtrs</t>
  </si>
  <si>
    <t>Cable Type</t>
  </si>
  <si>
    <t>Circle</t>
  </si>
  <si>
    <t>City</t>
  </si>
  <si>
    <t>NE Name</t>
  </si>
  <si>
    <t>NE Servi-Ce -Are-A  /Fl-At /Plot</t>
  </si>
  <si>
    <t>Floor No.</t>
  </si>
  <si>
    <t xml:space="preserve">Tower/wing </t>
  </si>
  <si>
    <t>Block</t>
  </si>
  <si>
    <t>Building Name/Shop</t>
  </si>
  <si>
    <t>Sub locality</t>
  </si>
  <si>
    <t>Locality</t>
  </si>
  <si>
    <t>HighRise/MidRise/FlatBed</t>
  </si>
  <si>
    <t>Type 02 B2B-com/B2C-com/B2B-Res/ B2C-Res</t>
  </si>
  <si>
    <t>Type/C+/B+</t>
  </si>
  <si>
    <t>C1</t>
  </si>
  <si>
    <t>C2</t>
  </si>
  <si>
    <t>Protection  Remark  Yes/ No</t>
  </si>
  <si>
    <t>MPCG</t>
  </si>
  <si>
    <t>FlatBed</t>
  </si>
  <si>
    <t>cable Type - UG/OH/Mix</t>
  </si>
  <si>
    <t>NE</t>
  </si>
  <si>
    <t>LAT</t>
  </si>
  <si>
    <t>Long</t>
  </si>
  <si>
    <t>Type(OWN/EB)</t>
  </si>
  <si>
    <t>Material Type(GI/FRP)</t>
  </si>
  <si>
    <t>Installed by(Indus)</t>
  </si>
  <si>
    <t>Installed Type(Terminal/Support)</t>
  </si>
  <si>
    <t>own</t>
  </si>
  <si>
    <t>GI</t>
  </si>
  <si>
    <t>SUPPORT</t>
  </si>
  <si>
    <t>TERMINAL</t>
  </si>
  <si>
    <t>CITY</t>
  </si>
  <si>
    <t>BHOPAL</t>
  </si>
  <si>
    <t>OH Length</t>
  </si>
  <si>
    <t>UG Length</t>
  </si>
  <si>
    <t>VIDISHA</t>
  </si>
  <si>
    <t>BTD05</t>
  </si>
  <si>
    <t>BTD</t>
  </si>
  <si>
    <t>JC</t>
  </si>
  <si>
    <t>FAT</t>
  </si>
  <si>
    <t>OH</t>
  </si>
  <si>
    <t>TOTAL</t>
  </si>
  <si>
    <t>BTD05010101</t>
  </si>
  <si>
    <t>S-1</t>
  </si>
  <si>
    <t>G</t>
  </si>
  <si>
    <t>S-2</t>
  </si>
  <si>
    <t>S-3</t>
  </si>
  <si>
    <t>S-4</t>
  </si>
  <si>
    <t>S-5</t>
  </si>
  <si>
    <t>S-6</t>
  </si>
  <si>
    <t>S-7</t>
  </si>
  <si>
    <t>S-8</t>
  </si>
  <si>
    <t>BTD05010301</t>
  </si>
  <si>
    <t>S-9</t>
  </si>
  <si>
    <t>S-10</t>
  </si>
  <si>
    <t>S-11</t>
  </si>
  <si>
    <t>S-12</t>
  </si>
  <si>
    <t>S-13</t>
  </si>
  <si>
    <t>S-14</t>
  </si>
  <si>
    <t>S-15</t>
  </si>
  <si>
    <t>S-16</t>
  </si>
  <si>
    <t>BTD05010501</t>
  </si>
  <si>
    <t>S-17</t>
  </si>
  <si>
    <t>S-18</t>
  </si>
  <si>
    <t>S-19</t>
  </si>
  <si>
    <t>S-20</t>
  </si>
  <si>
    <t>S-21</t>
  </si>
  <si>
    <t>S-22</t>
  </si>
  <si>
    <t>S-23</t>
  </si>
  <si>
    <t>S-24</t>
  </si>
  <si>
    <t>BTD05010601</t>
  </si>
  <si>
    <t>S-25</t>
  </si>
  <si>
    <t>S-26</t>
  </si>
  <si>
    <t>S-27</t>
  </si>
  <si>
    <t>S-28</t>
  </si>
  <si>
    <t>S-29</t>
  </si>
  <si>
    <t>S-30</t>
  </si>
  <si>
    <t>S-31</t>
  </si>
  <si>
    <t>S-32</t>
  </si>
  <si>
    <t>BTD05010701</t>
  </si>
  <si>
    <t>S-33</t>
  </si>
  <si>
    <t>S-34</t>
  </si>
  <si>
    <t>S-35</t>
  </si>
  <si>
    <t>S-36</t>
  </si>
  <si>
    <t>S-37</t>
  </si>
  <si>
    <t>S-38</t>
  </si>
  <si>
    <t>S-39</t>
  </si>
  <si>
    <t>S-40</t>
  </si>
  <si>
    <t>BTD05010801</t>
  </si>
  <si>
    <t>S-45</t>
  </si>
  <si>
    <t>S-46</t>
  </si>
  <si>
    <t>S-47</t>
  </si>
  <si>
    <t>S-48</t>
  </si>
  <si>
    <t>S-49</t>
  </si>
  <si>
    <t>S-50</t>
  </si>
  <si>
    <t>S-51</t>
  </si>
  <si>
    <t>S-52</t>
  </si>
  <si>
    <t>BTD05020101</t>
  </si>
  <si>
    <t>S-53</t>
  </si>
  <si>
    <t>S-54</t>
  </si>
  <si>
    <t>S-55</t>
  </si>
  <si>
    <t>S-56</t>
  </si>
  <si>
    <t>S-57</t>
  </si>
  <si>
    <t>S-58</t>
  </si>
  <si>
    <t>S-59</t>
  </si>
  <si>
    <t>S-60</t>
  </si>
  <si>
    <t>BTD05020201</t>
  </si>
  <si>
    <t>S-61</t>
  </si>
  <si>
    <t>S-62</t>
  </si>
  <si>
    <t>S-63</t>
  </si>
  <si>
    <t>S-64</t>
  </si>
  <si>
    <t>S-65</t>
  </si>
  <si>
    <t>S-66</t>
  </si>
  <si>
    <t>S-67</t>
  </si>
  <si>
    <t>S-68</t>
  </si>
  <si>
    <t>Near kanak bhawan marriage garden</t>
  </si>
  <si>
    <t>Banti Nagar</t>
  </si>
  <si>
    <t>Residential</t>
  </si>
  <si>
    <t>BTD-L1</t>
  </si>
  <si>
    <t>BTD0501</t>
  </si>
  <si>
    <t>BTD0502</t>
  </si>
  <si>
    <t>YES</t>
  </si>
  <si>
    <t>2*8</t>
  </si>
  <si>
    <t>C+</t>
  </si>
  <si>
    <t>-</t>
  </si>
  <si>
    <t>Protection port</t>
  </si>
  <si>
    <t>3UA</t>
  </si>
  <si>
    <t>3UA01</t>
  </si>
  <si>
    <t>NEW JC</t>
  </si>
  <si>
    <t>3UA010301</t>
  </si>
  <si>
    <t>3UA010302</t>
  </si>
  <si>
    <t>3UA010303</t>
  </si>
  <si>
    <t>3UA010304</t>
  </si>
  <si>
    <t>3UA010305</t>
  </si>
  <si>
    <t>3UA010306</t>
  </si>
  <si>
    <t>3UA010307</t>
  </si>
  <si>
    <t>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</si>
</sst>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3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D11" sqref="D11"/>
    </sheetView>
  </sheetViews>
  <sheetFormatPr defaultRowHeight="15" x14ac:dyDescent="0.25"/>
  <cols>
    <col min="2" max="2" width="10.42578125" customWidth="1"/>
    <col min="5" max="5" width="11.7109375" bestFit="1" customWidth="1"/>
    <col min="7" max="7" width="11" bestFit="1" customWidth="1"/>
    <col min="10" max="10" width="11.7109375" customWidth="1"/>
    <col min="11" max="11" width="14.7109375" customWidth="1"/>
  </cols>
  <sheetData>
    <row r="1" spans="1:11" ht="38.25" x14ac:dyDescent="0.25">
      <c r="A1" s="1" t="s">
        <v>1</v>
      </c>
      <c r="B1" s="1" t="s">
        <v>6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35</v>
      </c>
      <c r="H1" s="2" t="s">
        <v>7</v>
      </c>
      <c r="I1" s="2" t="s">
        <v>8</v>
      </c>
      <c r="J1" s="2" t="s">
        <v>38</v>
      </c>
      <c r="K1" s="11"/>
    </row>
    <row r="2" spans="1:11" x14ac:dyDescent="0.25">
      <c r="A2" s="4" t="s">
        <v>58</v>
      </c>
      <c r="B2" s="4" t="s">
        <v>141</v>
      </c>
      <c r="C2" s="10">
        <v>1</v>
      </c>
      <c r="D2" s="4" t="s">
        <v>140</v>
      </c>
      <c r="E2" s="5">
        <v>1</v>
      </c>
      <c r="F2" s="5">
        <v>9</v>
      </c>
      <c r="G2" s="11" t="s">
        <v>145</v>
      </c>
      <c r="H2" s="11" t="s">
        <v>144</v>
      </c>
      <c r="I2" s="11" t="s">
        <v>36</v>
      </c>
      <c r="J2" s="10" t="s">
        <v>146</v>
      </c>
      <c r="K2" s="11"/>
    </row>
    <row r="3" spans="1:11" x14ac:dyDescent="0.25">
      <c r="A3" s="4" t="s">
        <v>58</v>
      </c>
      <c r="B3" s="4" t="s">
        <v>142</v>
      </c>
      <c r="C3" s="10">
        <v>2</v>
      </c>
      <c r="D3" s="4" t="s">
        <v>140</v>
      </c>
      <c r="E3" s="5">
        <v>1</v>
      </c>
      <c r="F3" s="5">
        <v>10</v>
      </c>
      <c r="G3" s="11" t="s">
        <v>145</v>
      </c>
      <c r="H3" s="11" t="s">
        <v>144</v>
      </c>
      <c r="I3" s="11" t="s">
        <v>36</v>
      </c>
      <c r="J3" s="10" t="s">
        <v>146</v>
      </c>
      <c r="K3" s="11"/>
    </row>
    <row r="4" spans="1:11" x14ac:dyDescent="0.25">
      <c r="A4" s="4" t="s">
        <v>58</v>
      </c>
      <c r="B4" s="4" t="s">
        <v>141</v>
      </c>
      <c r="C4" s="10">
        <v>1</v>
      </c>
      <c r="D4" s="4" t="s">
        <v>140</v>
      </c>
      <c r="E4" s="5">
        <v>1</v>
      </c>
      <c r="F4" s="11">
        <v>13</v>
      </c>
      <c r="G4" s="11" t="s">
        <v>145</v>
      </c>
      <c r="H4" s="11" t="s">
        <v>144</v>
      </c>
      <c r="I4" s="11" t="s">
        <v>37</v>
      </c>
      <c r="J4" s="11" t="s">
        <v>143</v>
      </c>
      <c r="K4" s="11" t="s">
        <v>147</v>
      </c>
    </row>
    <row r="5" spans="1:11" x14ac:dyDescent="0.25">
      <c r="A5" s="4" t="s">
        <v>58</v>
      </c>
      <c r="B5" s="4" t="s">
        <v>142</v>
      </c>
      <c r="C5" s="10">
        <v>2</v>
      </c>
      <c r="D5" s="4" t="s">
        <v>140</v>
      </c>
      <c r="E5" s="5">
        <v>1</v>
      </c>
      <c r="F5" s="11">
        <v>14</v>
      </c>
      <c r="G5" s="11" t="s">
        <v>145</v>
      </c>
      <c r="H5" s="11" t="s">
        <v>144</v>
      </c>
      <c r="I5" s="11" t="s">
        <v>37</v>
      </c>
      <c r="J5" s="11" t="s">
        <v>143</v>
      </c>
      <c r="K5" s="11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"/>
  <sheetViews>
    <sheetView tabSelected="1" workbookViewId="0">
      <selection activeCell="E16" sqref="E16"/>
    </sheetView>
  </sheetViews>
  <sheetFormatPr defaultRowHeight="15" x14ac:dyDescent="0.25"/>
  <cols>
    <col min="2" max="2" width="12.5703125" customWidth="1"/>
    <col min="4" max="4" width="15" customWidth="1"/>
    <col min="5" max="5" width="12.28515625" customWidth="1"/>
    <col min="7" max="7" width="10.28515625" customWidth="1"/>
    <col min="14" max="14" width="27" customWidth="1"/>
  </cols>
  <sheetData>
    <row r="1" spans="1:17" ht="5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2" t="s">
        <v>14</v>
      </c>
      <c r="G1" s="1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1" t="s">
        <v>22</v>
      </c>
      <c r="O1" s="2" t="s">
        <v>41</v>
      </c>
      <c r="P1" s="2" t="s">
        <v>56</v>
      </c>
      <c r="Q1" s="2" t="s">
        <v>55</v>
      </c>
    </row>
    <row r="2" spans="1:17" x14ac:dyDescent="0.25">
      <c r="A2" s="4" t="s">
        <v>39</v>
      </c>
      <c r="B2" s="4" t="s">
        <v>57</v>
      </c>
      <c r="C2" s="4" t="s">
        <v>148</v>
      </c>
      <c r="D2" s="10" t="s">
        <v>149</v>
      </c>
      <c r="E2" s="10" t="s">
        <v>150</v>
      </c>
      <c r="F2" s="4" t="s">
        <v>60</v>
      </c>
      <c r="G2" s="11">
        <v>105</v>
      </c>
      <c r="H2" s="4"/>
      <c r="I2" s="4" t="s">
        <v>158</v>
      </c>
      <c r="J2" s="4"/>
      <c r="K2" s="4"/>
      <c r="L2" s="4"/>
      <c r="M2" s="16">
        <v>105</v>
      </c>
      <c r="N2" s="4"/>
      <c r="O2" s="4" t="s">
        <v>62</v>
      </c>
      <c r="P2" s="4"/>
      <c r="Q2" s="16">
        <f>M2</f>
        <v>105</v>
      </c>
    </row>
    <row r="3" spans="1:17" x14ac:dyDescent="0.25">
      <c r="A3" s="4" t="s">
        <v>39</v>
      </c>
      <c r="B3" s="4" t="s">
        <v>57</v>
      </c>
      <c r="C3" s="4" t="s">
        <v>148</v>
      </c>
      <c r="D3" s="10" t="s">
        <v>150</v>
      </c>
      <c r="E3" s="10" t="s">
        <v>151</v>
      </c>
      <c r="F3" s="4" t="s">
        <v>61</v>
      </c>
      <c r="G3" s="11">
        <v>342</v>
      </c>
      <c r="H3" s="6"/>
      <c r="I3" s="11"/>
      <c r="J3" s="11">
        <f t="shared" ref="J3:J9" si="0">G3-G2</f>
        <v>237</v>
      </c>
      <c r="K3" s="6"/>
      <c r="L3" s="6"/>
      <c r="M3" s="10">
        <f>J3</f>
        <v>237</v>
      </c>
      <c r="N3" s="6"/>
      <c r="O3" s="4" t="s">
        <v>62</v>
      </c>
      <c r="P3" s="6"/>
      <c r="Q3" s="16">
        <f t="shared" ref="Q3:Q9" si="1">M3</f>
        <v>237</v>
      </c>
    </row>
    <row r="4" spans="1:17" x14ac:dyDescent="0.25">
      <c r="A4" s="4" t="s">
        <v>39</v>
      </c>
      <c r="B4" s="4" t="s">
        <v>57</v>
      </c>
      <c r="C4" s="4" t="s">
        <v>148</v>
      </c>
      <c r="D4" s="10" t="s">
        <v>150</v>
      </c>
      <c r="E4" s="10" t="s">
        <v>152</v>
      </c>
      <c r="F4" s="4" t="s">
        <v>61</v>
      </c>
      <c r="G4" s="11">
        <v>570</v>
      </c>
      <c r="H4" s="6"/>
      <c r="I4" s="11"/>
      <c r="J4" s="15">
        <f t="shared" si="0"/>
        <v>228</v>
      </c>
      <c r="K4" s="6"/>
      <c r="L4" s="6"/>
      <c r="M4" s="10">
        <f t="shared" ref="M4:M9" si="2">J4</f>
        <v>228</v>
      </c>
      <c r="N4" s="6"/>
      <c r="O4" s="4" t="s">
        <v>62</v>
      </c>
      <c r="P4" s="6"/>
      <c r="Q4" s="16">
        <f t="shared" si="1"/>
        <v>228</v>
      </c>
    </row>
    <row r="5" spans="1:17" x14ac:dyDescent="0.25">
      <c r="A5" s="4" t="s">
        <v>39</v>
      </c>
      <c r="B5" s="4" t="s">
        <v>57</v>
      </c>
      <c r="C5" s="4" t="s">
        <v>148</v>
      </c>
      <c r="D5" s="10" t="s">
        <v>152</v>
      </c>
      <c r="E5" s="10" t="s">
        <v>153</v>
      </c>
      <c r="F5" s="4" t="s">
        <v>61</v>
      </c>
      <c r="G5" s="11">
        <v>668</v>
      </c>
      <c r="H5" s="6"/>
      <c r="I5" s="11"/>
      <c r="J5" s="15">
        <f t="shared" si="0"/>
        <v>98</v>
      </c>
      <c r="K5" s="6"/>
      <c r="L5" s="6"/>
      <c r="M5" s="10">
        <f t="shared" si="2"/>
        <v>98</v>
      </c>
      <c r="N5" s="6"/>
      <c r="O5" s="4" t="s">
        <v>62</v>
      </c>
      <c r="P5" s="6"/>
      <c r="Q5" s="16">
        <f t="shared" si="1"/>
        <v>98</v>
      </c>
    </row>
    <row r="6" spans="1:17" x14ac:dyDescent="0.25">
      <c r="A6" s="4" t="s">
        <v>39</v>
      </c>
      <c r="B6" s="4" t="s">
        <v>57</v>
      </c>
      <c r="C6" s="4" t="s">
        <v>148</v>
      </c>
      <c r="D6" s="10" t="s">
        <v>153</v>
      </c>
      <c r="E6" s="10" t="s">
        <v>154</v>
      </c>
      <c r="F6" s="4" t="s">
        <v>61</v>
      </c>
      <c r="G6" s="11">
        <v>785</v>
      </c>
      <c r="H6" s="6"/>
      <c r="I6" s="11"/>
      <c r="J6" s="15">
        <f t="shared" si="0"/>
        <v>117</v>
      </c>
      <c r="K6" s="6"/>
      <c r="L6" s="6"/>
      <c r="M6" s="10">
        <f t="shared" si="2"/>
        <v>117</v>
      </c>
      <c r="N6" s="6"/>
      <c r="O6" s="4" t="s">
        <v>62</v>
      </c>
      <c r="P6" s="6"/>
      <c r="Q6" s="16">
        <f t="shared" si="1"/>
        <v>117</v>
      </c>
    </row>
    <row r="7" spans="1:17" x14ac:dyDescent="0.25">
      <c r="A7" s="4" t="s">
        <v>39</v>
      </c>
      <c r="B7" s="4" t="s">
        <v>57</v>
      </c>
      <c r="C7" s="4" t="s">
        <v>148</v>
      </c>
      <c r="D7" s="10" t="s">
        <v>154</v>
      </c>
      <c r="E7" s="10" t="s">
        <v>155</v>
      </c>
      <c r="F7" s="4" t="s">
        <v>61</v>
      </c>
      <c r="G7" s="11">
        <v>839</v>
      </c>
      <c r="H7" s="6"/>
      <c r="I7" s="11"/>
      <c r="J7" s="15">
        <f t="shared" si="0"/>
        <v>54</v>
      </c>
      <c r="K7" s="6"/>
      <c r="L7" s="6"/>
      <c r="M7" s="10">
        <f t="shared" si="2"/>
        <v>54</v>
      </c>
      <c r="N7" s="6"/>
      <c r="O7" s="4" t="s">
        <v>62</v>
      </c>
      <c r="P7" s="6"/>
      <c r="Q7" s="16">
        <f t="shared" si="1"/>
        <v>54</v>
      </c>
    </row>
    <row r="8" spans="1:17" x14ac:dyDescent="0.25">
      <c r="A8" s="4" t="s">
        <v>39</v>
      </c>
      <c r="B8" s="4" t="s">
        <v>57</v>
      </c>
      <c r="C8" s="4" t="s">
        <v>148</v>
      </c>
      <c r="D8" s="10" t="s">
        <v>155</v>
      </c>
      <c r="E8" s="10" t="s">
        <v>156</v>
      </c>
      <c r="F8" s="4" t="s">
        <v>61</v>
      </c>
      <c r="G8" s="11">
        <v>890</v>
      </c>
      <c r="H8" s="6"/>
      <c r="I8" s="11"/>
      <c r="J8" s="15">
        <f t="shared" si="0"/>
        <v>51</v>
      </c>
      <c r="K8" s="6"/>
      <c r="L8" s="6"/>
      <c r="M8" s="10">
        <f t="shared" si="2"/>
        <v>51</v>
      </c>
      <c r="N8" s="6"/>
      <c r="O8" s="4" t="s">
        <v>62</v>
      </c>
      <c r="P8" s="6"/>
      <c r="Q8" s="16">
        <f t="shared" si="1"/>
        <v>51</v>
      </c>
    </row>
    <row r="9" spans="1:17" x14ac:dyDescent="0.25">
      <c r="A9" s="4" t="s">
        <v>39</v>
      </c>
      <c r="B9" s="4" t="s">
        <v>57</v>
      </c>
      <c r="C9" s="4" t="s">
        <v>148</v>
      </c>
      <c r="D9" s="10" t="s">
        <v>156</v>
      </c>
      <c r="E9" s="10" t="s">
        <v>157</v>
      </c>
      <c r="F9" s="4" t="s">
        <v>61</v>
      </c>
      <c r="G9" s="11">
        <v>968</v>
      </c>
      <c r="H9" s="6"/>
      <c r="I9" s="11"/>
      <c r="J9" s="15">
        <f t="shared" si="0"/>
        <v>78</v>
      </c>
      <c r="K9" s="6"/>
      <c r="L9" s="6"/>
      <c r="M9" s="10">
        <f t="shared" si="2"/>
        <v>78</v>
      </c>
      <c r="N9" s="6"/>
      <c r="O9" s="4" t="s">
        <v>62</v>
      </c>
      <c r="P9" s="6"/>
      <c r="Q9" s="16">
        <f t="shared" si="1"/>
        <v>78</v>
      </c>
    </row>
    <row r="10" spans="1:17" x14ac:dyDescent="0.25">
      <c r="A10" s="19" t="s">
        <v>63</v>
      </c>
      <c r="B10" s="19"/>
      <c r="C10" s="19"/>
      <c r="D10" s="19"/>
      <c r="E10" s="19"/>
      <c r="F10" s="19"/>
      <c r="G10" s="19"/>
      <c r="H10" s="6"/>
      <c r="I10" s="10">
        <v>105</v>
      </c>
      <c r="J10" s="17">
        <f>SUM(J3:J9)</f>
        <v>863</v>
      </c>
      <c r="K10" s="6"/>
      <c r="L10" s="6"/>
      <c r="M10" s="18">
        <f>SUM(M2:M9)</f>
        <v>968</v>
      </c>
      <c r="N10" s="6"/>
      <c r="O10" s="6"/>
      <c r="P10" s="6"/>
      <c r="Q10" s="18">
        <f>SUM(Q2:Q9)</f>
        <v>968</v>
      </c>
    </row>
  </sheetData>
  <mergeCells count="1">
    <mergeCell ref="A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5"/>
  <sheetViews>
    <sheetView workbookViewId="0">
      <selection activeCell="H8" sqref="H8"/>
    </sheetView>
  </sheetViews>
  <sheetFormatPr defaultRowHeight="15" x14ac:dyDescent="0.25"/>
  <cols>
    <col min="1" max="1" width="7.140625" bestFit="1" customWidth="1"/>
    <col min="2" max="2" width="7.7109375" bestFit="1" customWidth="1"/>
    <col min="3" max="3" width="4.85546875" bestFit="1" customWidth="1"/>
    <col min="4" max="4" width="12.140625" bestFit="1" customWidth="1"/>
    <col min="5" max="5" width="8.7109375" bestFit="1" customWidth="1"/>
    <col min="6" max="6" width="7.85546875" bestFit="1" customWidth="1"/>
    <col min="7" max="7" width="8.85546875" bestFit="1" customWidth="1"/>
    <col min="8" max="8" width="8.42578125" bestFit="1" customWidth="1"/>
    <col min="9" max="9" width="25" bestFit="1" customWidth="1"/>
    <col min="10" max="10" width="34.5703125" customWidth="1"/>
    <col min="11" max="11" width="13.42578125" bestFit="1" customWidth="1"/>
    <col min="12" max="12" width="10.140625" bestFit="1" customWidth="1"/>
    <col min="13" max="13" width="17.28515625" customWidth="1"/>
  </cols>
  <sheetData>
    <row r="1" spans="1:13" ht="51" x14ac:dyDescent="0.25">
      <c r="A1" s="13" t="s">
        <v>23</v>
      </c>
      <c r="B1" s="14" t="s">
        <v>24</v>
      </c>
      <c r="C1" s="14" t="s">
        <v>11</v>
      </c>
      <c r="D1" s="14" t="s">
        <v>25</v>
      </c>
      <c r="E1" s="14" t="s">
        <v>26</v>
      </c>
      <c r="F1" s="14" t="s">
        <v>27</v>
      </c>
      <c r="G1" s="14" t="s">
        <v>28</v>
      </c>
      <c r="H1" s="14" t="s">
        <v>29</v>
      </c>
      <c r="I1" s="14" t="s">
        <v>30</v>
      </c>
      <c r="J1" s="14" t="s">
        <v>31</v>
      </c>
      <c r="K1" s="14" t="s">
        <v>32</v>
      </c>
      <c r="L1" s="14" t="s">
        <v>33</v>
      </c>
      <c r="M1" s="14" t="s">
        <v>34</v>
      </c>
    </row>
    <row r="2" spans="1:13" x14ac:dyDescent="0.25">
      <c r="A2" s="10" t="s">
        <v>39</v>
      </c>
      <c r="B2" s="10" t="s">
        <v>57</v>
      </c>
      <c r="C2" s="10" t="s">
        <v>59</v>
      </c>
      <c r="D2" s="10" t="s">
        <v>64</v>
      </c>
      <c r="E2" s="11" t="s">
        <v>65</v>
      </c>
      <c r="F2" s="11" t="s">
        <v>66</v>
      </c>
      <c r="G2" s="4"/>
      <c r="H2" s="4"/>
      <c r="I2" s="4"/>
      <c r="J2" s="11" t="s">
        <v>137</v>
      </c>
      <c r="K2" s="11" t="s">
        <v>138</v>
      </c>
      <c r="L2" s="11" t="s">
        <v>40</v>
      </c>
      <c r="M2" s="12" t="s">
        <v>139</v>
      </c>
    </row>
    <row r="3" spans="1:13" x14ac:dyDescent="0.25">
      <c r="A3" s="10" t="s">
        <v>39</v>
      </c>
      <c r="B3" s="10" t="s">
        <v>57</v>
      </c>
      <c r="C3" s="10" t="s">
        <v>59</v>
      </c>
      <c r="D3" s="10" t="s">
        <v>64</v>
      </c>
      <c r="E3" s="11" t="s">
        <v>67</v>
      </c>
      <c r="F3" s="11" t="s">
        <v>66</v>
      </c>
      <c r="G3" s="4"/>
      <c r="H3" s="4"/>
      <c r="I3" s="4"/>
      <c r="J3" s="11" t="s">
        <v>137</v>
      </c>
      <c r="K3" s="11" t="s">
        <v>138</v>
      </c>
      <c r="L3" s="11" t="s">
        <v>40</v>
      </c>
      <c r="M3" s="12" t="s">
        <v>139</v>
      </c>
    </row>
    <row r="4" spans="1:13" x14ac:dyDescent="0.25">
      <c r="A4" s="10" t="s">
        <v>39</v>
      </c>
      <c r="B4" s="10" t="s">
        <v>57</v>
      </c>
      <c r="C4" s="10" t="s">
        <v>59</v>
      </c>
      <c r="D4" s="10" t="s">
        <v>64</v>
      </c>
      <c r="E4" s="11" t="s">
        <v>68</v>
      </c>
      <c r="F4" s="11" t="s">
        <v>66</v>
      </c>
      <c r="G4" s="4"/>
      <c r="H4" s="4"/>
      <c r="I4" s="4"/>
      <c r="J4" s="11" t="s">
        <v>137</v>
      </c>
      <c r="K4" s="11" t="s">
        <v>138</v>
      </c>
      <c r="L4" s="11" t="s">
        <v>40</v>
      </c>
      <c r="M4" s="12" t="s">
        <v>139</v>
      </c>
    </row>
    <row r="5" spans="1:13" x14ac:dyDescent="0.25">
      <c r="A5" s="10" t="s">
        <v>39</v>
      </c>
      <c r="B5" s="10" t="s">
        <v>57</v>
      </c>
      <c r="C5" s="10" t="s">
        <v>59</v>
      </c>
      <c r="D5" s="10" t="s">
        <v>64</v>
      </c>
      <c r="E5" s="11" t="s">
        <v>69</v>
      </c>
      <c r="F5" s="11" t="s">
        <v>66</v>
      </c>
      <c r="G5" s="4"/>
      <c r="H5" s="4"/>
      <c r="I5" s="4"/>
      <c r="J5" s="11" t="s">
        <v>137</v>
      </c>
      <c r="K5" s="11" t="s">
        <v>138</v>
      </c>
      <c r="L5" s="11" t="s">
        <v>40</v>
      </c>
      <c r="M5" s="12" t="s">
        <v>139</v>
      </c>
    </row>
    <row r="6" spans="1:13" x14ac:dyDescent="0.25">
      <c r="A6" s="10" t="s">
        <v>39</v>
      </c>
      <c r="B6" s="10" t="s">
        <v>57</v>
      </c>
      <c r="C6" s="10" t="s">
        <v>59</v>
      </c>
      <c r="D6" s="10" t="s">
        <v>64</v>
      </c>
      <c r="E6" s="11" t="s">
        <v>70</v>
      </c>
      <c r="F6" s="11" t="s">
        <v>66</v>
      </c>
      <c r="G6" s="4"/>
      <c r="H6" s="4"/>
      <c r="I6" s="4"/>
      <c r="J6" s="11" t="s">
        <v>137</v>
      </c>
      <c r="K6" s="11" t="s">
        <v>138</v>
      </c>
      <c r="L6" s="11" t="s">
        <v>40</v>
      </c>
      <c r="M6" s="12" t="s">
        <v>139</v>
      </c>
    </row>
    <row r="7" spans="1:13" x14ac:dyDescent="0.25">
      <c r="A7" s="10" t="s">
        <v>39</v>
      </c>
      <c r="B7" s="10" t="s">
        <v>57</v>
      </c>
      <c r="C7" s="10" t="s">
        <v>59</v>
      </c>
      <c r="D7" s="10" t="s">
        <v>64</v>
      </c>
      <c r="E7" s="11" t="s">
        <v>71</v>
      </c>
      <c r="F7" s="11" t="s">
        <v>66</v>
      </c>
      <c r="G7" s="6"/>
      <c r="H7" s="6"/>
      <c r="I7" s="6"/>
      <c r="J7" s="11" t="s">
        <v>137</v>
      </c>
      <c r="K7" s="11" t="s">
        <v>138</v>
      </c>
      <c r="L7" s="11" t="s">
        <v>40</v>
      </c>
      <c r="M7" s="12" t="s">
        <v>139</v>
      </c>
    </row>
    <row r="8" spans="1:13" x14ac:dyDescent="0.25">
      <c r="A8" s="10" t="s">
        <v>39</v>
      </c>
      <c r="B8" s="10" t="s">
        <v>57</v>
      </c>
      <c r="C8" s="10" t="s">
        <v>59</v>
      </c>
      <c r="D8" s="10" t="s">
        <v>64</v>
      </c>
      <c r="E8" s="11" t="s">
        <v>72</v>
      </c>
      <c r="F8" s="11" t="s">
        <v>66</v>
      </c>
      <c r="G8" s="6"/>
      <c r="H8" s="6"/>
      <c r="I8" s="6"/>
      <c r="J8" s="11" t="s">
        <v>137</v>
      </c>
      <c r="K8" s="11" t="s">
        <v>138</v>
      </c>
      <c r="L8" s="11" t="s">
        <v>40</v>
      </c>
      <c r="M8" s="12" t="s">
        <v>139</v>
      </c>
    </row>
    <row r="9" spans="1:13" x14ac:dyDescent="0.25">
      <c r="A9" s="10" t="s">
        <v>39</v>
      </c>
      <c r="B9" s="10" t="s">
        <v>57</v>
      </c>
      <c r="C9" s="10" t="s">
        <v>59</v>
      </c>
      <c r="D9" s="10" t="s">
        <v>64</v>
      </c>
      <c r="E9" s="11" t="s">
        <v>73</v>
      </c>
      <c r="F9" s="11" t="s">
        <v>66</v>
      </c>
      <c r="G9" s="6"/>
      <c r="H9" s="6"/>
      <c r="I9" s="6"/>
      <c r="J9" s="11" t="s">
        <v>137</v>
      </c>
      <c r="K9" s="11" t="s">
        <v>138</v>
      </c>
      <c r="L9" s="11" t="s">
        <v>40</v>
      </c>
      <c r="M9" s="12" t="s">
        <v>139</v>
      </c>
    </row>
    <row r="10" spans="1:13" x14ac:dyDescent="0.25">
      <c r="A10" s="10" t="s">
        <v>39</v>
      </c>
      <c r="B10" s="10" t="s">
        <v>57</v>
      </c>
      <c r="C10" s="10" t="s">
        <v>59</v>
      </c>
      <c r="D10" s="10" t="s">
        <v>74</v>
      </c>
      <c r="E10" s="11" t="s">
        <v>75</v>
      </c>
      <c r="F10" s="11" t="s">
        <v>66</v>
      </c>
      <c r="G10" s="6"/>
      <c r="H10" s="6"/>
      <c r="I10" s="6"/>
      <c r="J10" s="11" t="s">
        <v>137</v>
      </c>
      <c r="K10" s="11" t="s">
        <v>138</v>
      </c>
      <c r="L10" s="11" t="s">
        <v>40</v>
      </c>
      <c r="M10" s="12" t="s">
        <v>139</v>
      </c>
    </row>
    <row r="11" spans="1:13" x14ac:dyDescent="0.25">
      <c r="A11" s="10" t="s">
        <v>39</v>
      </c>
      <c r="B11" s="10" t="s">
        <v>57</v>
      </c>
      <c r="C11" s="10" t="s">
        <v>59</v>
      </c>
      <c r="D11" s="10" t="s">
        <v>74</v>
      </c>
      <c r="E11" s="11" t="s">
        <v>76</v>
      </c>
      <c r="F11" s="11" t="s">
        <v>66</v>
      </c>
      <c r="G11" s="6"/>
      <c r="H11" s="6"/>
      <c r="I11" s="6"/>
      <c r="J11" s="11" t="s">
        <v>137</v>
      </c>
      <c r="K11" s="11" t="s">
        <v>138</v>
      </c>
      <c r="L11" s="11" t="s">
        <v>40</v>
      </c>
      <c r="M11" s="12" t="s">
        <v>139</v>
      </c>
    </row>
    <row r="12" spans="1:13" x14ac:dyDescent="0.25">
      <c r="A12" s="10" t="s">
        <v>39</v>
      </c>
      <c r="B12" s="10" t="s">
        <v>57</v>
      </c>
      <c r="C12" s="10" t="s">
        <v>59</v>
      </c>
      <c r="D12" s="10" t="s">
        <v>74</v>
      </c>
      <c r="E12" s="11" t="s">
        <v>77</v>
      </c>
      <c r="F12" s="11" t="s">
        <v>66</v>
      </c>
      <c r="G12" s="6"/>
      <c r="H12" s="6"/>
      <c r="I12" s="6"/>
      <c r="J12" s="11" t="s">
        <v>137</v>
      </c>
      <c r="K12" s="11" t="s">
        <v>138</v>
      </c>
      <c r="L12" s="11" t="s">
        <v>40</v>
      </c>
      <c r="M12" s="12" t="s">
        <v>139</v>
      </c>
    </row>
    <row r="13" spans="1:13" x14ac:dyDescent="0.25">
      <c r="A13" s="10" t="s">
        <v>39</v>
      </c>
      <c r="B13" s="10" t="s">
        <v>57</v>
      </c>
      <c r="C13" s="10" t="s">
        <v>59</v>
      </c>
      <c r="D13" s="10" t="s">
        <v>74</v>
      </c>
      <c r="E13" s="11" t="s">
        <v>78</v>
      </c>
      <c r="F13" s="11" t="s">
        <v>66</v>
      </c>
      <c r="G13" s="6"/>
      <c r="H13" s="6"/>
      <c r="I13" s="6"/>
      <c r="J13" s="11" t="s">
        <v>137</v>
      </c>
      <c r="K13" s="11" t="s">
        <v>138</v>
      </c>
      <c r="L13" s="11" t="s">
        <v>40</v>
      </c>
      <c r="M13" s="12" t="s">
        <v>139</v>
      </c>
    </row>
    <row r="14" spans="1:13" x14ac:dyDescent="0.25">
      <c r="A14" s="10" t="s">
        <v>39</v>
      </c>
      <c r="B14" s="10" t="s">
        <v>57</v>
      </c>
      <c r="C14" s="10" t="s">
        <v>59</v>
      </c>
      <c r="D14" s="10" t="s">
        <v>74</v>
      </c>
      <c r="E14" s="11" t="s">
        <v>79</v>
      </c>
      <c r="F14" s="11" t="s">
        <v>66</v>
      </c>
      <c r="G14" s="6"/>
      <c r="H14" s="6"/>
      <c r="I14" s="6"/>
      <c r="J14" s="11" t="s">
        <v>137</v>
      </c>
      <c r="K14" s="11" t="s">
        <v>138</v>
      </c>
      <c r="L14" s="11" t="s">
        <v>40</v>
      </c>
      <c r="M14" s="12" t="s">
        <v>139</v>
      </c>
    </row>
    <row r="15" spans="1:13" x14ac:dyDescent="0.25">
      <c r="A15" s="10" t="s">
        <v>39</v>
      </c>
      <c r="B15" s="10" t="s">
        <v>57</v>
      </c>
      <c r="C15" s="10" t="s">
        <v>59</v>
      </c>
      <c r="D15" s="10" t="s">
        <v>74</v>
      </c>
      <c r="E15" s="11" t="s">
        <v>80</v>
      </c>
      <c r="F15" s="11" t="s">
        <v>66</v>
      </c>
      <c r="G15" s="6"/>
      <c r="H15" s="6"/>
      <c r="I15" s="6"/>
      <c r="J15" s="11" t="s">
        <v>137</v>
      </c>
      <c r="K15" s="11" t="s">
        <v>138</v>
      </c>
      <c r="L15" s="11" t="s">
        <v>40</v>
      </c>
      <c r="M15" s="12" t="s">
        <v>139</v>
      </c>
    </row>
    <row r="16" spans="1:13" x14ac:dyDescent="0.25">
      <c r="A16" s="10" t="s">
        <v>39</v>
      </c>
      <c r="B16" s="10" t="s">
        <v>57</v>
      </c>
      <c r="C16" s="10" t="s">
        <v>59</v>
      </c>
      <c r="D16" s="10" t="s">
        <v>74</v>
      </c>
      <c r="E16" s="11" t="s">
        <v>81</v>
      </c>
      <c r="F16" s="11" t="s">
        <v>66</v>
      </c>
      <c r="G16" s="6"/>
      <c r="H16" s="6"/>
      <c r="I16" s="6"/>
      <c r="J16" s="11" t="s">
        <v>137</v>
      </c>
      <c r="K16" s="11" t="s">
        <v>138</v>
      </c>
      <c r="L16" s="11" t="s">
        <v>40</v>
      </c>
      <c r="M16" s="12" t="s">
        <v>139</v>
      </c>
    </row>
    <row r="17" spans="1:13" x14ac:dyDescent="0.25">
      <c r="A17" s="10" t="s">
        <v>39</v>
      </c>
      <c r="B17" s="10" t="s">
        <v>57</v>
      </c>
      <c r="C17" s="10" t="s">
        <v>59</v>
      </c>
      <c r="D17" s="10" t="s">
        <v>74</v>
      </c>
      <c r="E17" s="11" t="s">
        <v>82</v>
      </c>
      <c r="F17" s="11" t="s">
        <v>66</v>
      </c>
      <c r="G17" s="6"/>
      <c r="H17" s="6"/>
      <c r="I17" s="6"/>
      <c r="J17" s="11" t="s">
        <v>137</v>
      </c>
      <c r="K17" s="11" t="s">
        <v>138</v>
      </c>
      <c r="L17" s="11" t="s">
        <v>40</v>
      </c>
      <c r="M17" s="12" t="s">
        <v>139</v>
      </c>
    </row>
    <row r="18" spans="1:13" x14ac:dyDescent="0.25">
      <c r="A18" s="10" t="s">
        <v>39</v>
      </c>
      <c r="B18" s="10" t="s">
        <v>57</v>
      </c>
      <c r="C18" s="10" t="s">
        <v>59</v>
      </c>
      <c r="D18" s="10" t="s">
        <v>83</v>
      </c>
      <c r="E18" s="11" t="s">
        <v>84</v>
      </c>
      <c r="F18" s="11" t="s">
        <v>66</v>
      </c>
      <c r="G18" s="6"/>
      <c r="H18" s="6"/>
      <c r="I18" s="6"/>
      <c r="J18" s="11" t="s">
        <v>137</v>
      </c>
      <c r="K18" s="11" t="s">
        <v>138</v>
      </c>
      <c r="L18" s="11" t="s">
        <v>40</v>
      </c>
      <c r="M18" s="12" t="s">
        <v>139</v>
      </c>
    </row>
    <row r="19" spans="1:13" x14ac:dyDescent="0.25">
      <c r="A19" s="10" t="s">
        <v>39</v>
      </c>
      <c r="B19" s="10" t="s">
        <v>57</v>
      </c>
      <c r="C19" s="10" t="s">
        <v>59</v>
      </c>
      <c r="D19" s="10" t="s">
        <v>83</v>
      </c>
      <c r="E19" s="11" t="s">
        <v>85</v>
      </c>
      <c r="F19" s="11" t="s">
        <v>66</v>
      </c>
      <c r="G19" s="6"/>
      <c r="H19" s="6"/>
      <c r="I19" s="6"/>
      <c r="J19" s="11" t="s">
        <v>137</v>
      </c>
      <c r="K19" s="11" t="s">
        <v>138</v>
      </c>
      <c r="L19" s="11" t="s">
        <v>40</v>
      </c>
      <c r="M19" s="12" t="s">
        <v>139</v>
      </c>
    </row>
    <row r="20" spans="1:13" x14ac:dyDescent="0.25">
      <c r="A20" s="10" t="s">
        <v>39</v>
      </c>
      <c r="B20" s="10" t="s">
        <v>57</v>
      </c>
      <c r="C20" s="10" t="s">
        <v>59</v>
      </c>
      <c r="D20" s="10" t="s">
        <v>83</v>
      </c>
      <c r="E20" s="11" t="s">
        <v>86</v>
      </c>
      <c r="F20" s="11" t="s">
        <v>66</v>
      </c>
      <c r="G20" s="6"/>
      <c r="H20" s="6"/>
      <c r="I20" s="6"/>
      <c r="J20" s="11" t="s">
        <v>137</v>
      </c>
      <c r="K20" s="11" t="s">
        <v>138</v>
      </c>
      <c r="L20" s="11" t="s">
        <v>40</v>
      </c>
      <c r="M20" s="12" t="s">
        <v>139</v>
      </c>
    </row>
    <row r="21" spans="1:13" x14ac:dyDescent="0.25">
      <c r="A21" s="10" t="s">
        <v>39</v>
      </c>
      <c r="B21" s="10" t="s">
        <v>57</v>
      </c>
      <c r="C21" s="10" t="s">
        <v>59</v>
      </c>
      <c r="D21" s="10" t="s">
        <v>83</v>
      </c>
      <c r="E21" s="11" t="s">
        <v>87</v>
      </c>
      <c r="F21" s="11" t="s">
        <v>66</v>
      </c>
      <c r="G21" s="6"/>
      <c r="H21" s="6"/>
      <c r="I21" s="6"/>
      <c r="J21" s="11" t="s">
        <v>137</v>
      </c>
      <c r="K21" s="11" t="s">
        <v>138</v>
      </c>
      <c r="L21" s="11" t="s">
        <v>40</v>
      </c>
      <c r="M21" s="12" t="s">
        <v>139</v>
      </c>
    </row>
    <row r="22" spans="1:13" x14ac:dyDescent="0.25">
      <c r="A22" s="10" t="s">
        <v>39</v>
      </c>
      <c r="B22" s="10" t="s">
        <v>57</v>
      </c>
      <c r="C22" s="10" t="s">
        <v>59</v>
      </c>
      <c r="D22" s="10" t="s">
        <v>83</v>
      </c>
      <c r="E22" s="11" t="s">
        <v>88</v>
      </c>
      <c r="F22" s="11" t="s">
        <v>66</v>
      </c>
      <c r="G22" s="6"/>
      <c r="H22" s="6"/>
      <c r="I22" s="6"/>
      <c r="J22" s="11" t="s">
        <v>137</v>
      </c>
      <c r="K22" s="11" t="s">
        <v>138</v>
      </c>
      <c r="L22" s="11" t="s">
        <v>40</v>
      </c>
      <c r="M22" s="12" t="s">
        <v>139</v>
      </c>
    </row>
    <row r="23" spans="1:13" x14ac:dyDescent="0.25">
      <c r="A23" s="10" t="s">
        <v>39</v>
      </c>
      <c r="B23" s="10" t="s">
        <v>57</v>
      </c>
      <c r="C23" s="10" t="s">
        <v>59</v>
      </c>
      <c r="D23" s="10" t="s">
        <v>83</v>
      </c>
      <c r="E23" s="11" t="s">
        <v>89</v>
      </c>
      <c r="F23" s="11" t="s">
        <v>66</v>
      </c>
      <c r="G23" s="6"/>
      <c r="H23" s="6"/>
      <c r="I23" s="6"/>
      <c r="J23" s="11" t="s">
        <v>137</v>
      </c>
      <c r="K23" s="11" t="s">
        <v>138</v>
      </c>
      <c r="L23" s="11" t="s">
        <v>40</v>
      </c>
      <c r="M23" s="12" t="s">
        <v>139</v>
      </c>
    </row>
    <row r="24" spans="1:13" x14ac:dyDescent="0.25">
      <c r="A24" s="10" t="s">
        <v>39</v>
      </c>
      <c r="B24" s="10" t="s">
        <v>57</v>
      </c>
      <c r="C24" s="10" t="s">
        <v>59</v>
      </c>
      <c r="D24" s="10" t="s">
        <v>83</v>
      </c>
      <c r="E24" s="11" t="s">
        <v>90</v>
      </c>
      <c r="F24" s="11" t="s">
        <v>66</v>
      </c>
      <c r="G24" s="6"/>
      <c r="H24" s="6"/>
      <c r="I24" s="6"/>
      <c r="J24" s="11" t="s">
        <v>137</v>
      </c>
      <c r="K24" s="11" t="s">
        <v>138</v>
      </c>
      <c r="L24" s="11" t="s">
        <v>40</v>
      </c>
      <c r="M24" s="12" t="s">
        <v>139</v>
      </c>
    </row>
    <row r="25" spans="1:13" x14ac:dyDescent="0.25">
      <c r="A25" s="10" t="s">
        <v>39</v>
      </c>
      <c r="B25" s="10" t="s">
        <v>57</v>
      </c>
      <c r="C25" s="10" t="s">
        <v>59</v>
      </c>
      <c r="D25" s="10" t="s">
        <v>83</v>
      </c>
      <c r="E25" s="11" t="s">
        <v>91</v>
      </c>
      <c r="F25" s="11" t="s">
        <v>66</v>
      </c>
      <c r="G25" s="6"/>
      <c r="H25" s="6"/>
      <c r="I25" s="6"/>
      <c r="J25" s="11" t="s">
        <v>137</v>
      </c>
      <c r="K25" s="11" t="s">
        <v>138</v>
      </c>
      <c r="L25" s="11" t="s">
        <v>40</v>
      </c>
      <c r="M25" s="12" t="s">
        <v>139</v>
      </c>
    </row>
    <row r="26" spans="1:13" x14ac:dyDescent="0.25">
      <c r="A26" s="10" t="s">
        <v>39</v>
      </c>
      <c r="B26" s="10" t="s">
        <v>57</v>
      </c>
      <c r="C26" s="10" t="s">
        <v>59</v>
      </c>
      <c r="D26" s="10" t="s">
        <v>92</v>
      </c>
      <c r="E26" s="11" t="s">
        <v>93</v>
      </c>
      <c r="F26" s="11" t="s">
        <v>66</v>
      </c>
      <c r="G26" s="6"/>
      <c r="H26" s="6"/>
      <c r="I26" s="6"/>
      <c r="J26" s="11" t="s">
        <v>137</v>
      </c>
      <c r="K26" s="11" t="s">
        <v>138</v>
      </c>
      <c r="L26" s="11" t="s">
        <v>40</v>
      </c>
      <c r="M26" s="12" t="s">
        <v>139</v>
      </c>
    </row>
    <row r="27" spans="1:13" x14ac:dyDescent="0.25">
      <c r="A27" s="10" t="s">
        <v>39</v>
      </c>
      <c r="B27" s="10" t="s">
        <v>57</v>
      </c>
      <c r="C27" s="10" t="s">
        <v>59</v>
      </c>
      <c r="D27" s="10" t="s">
        <v>92</v>
      </c>
      <c r="E27" s="11" t="s">
        <v>94</v>
      </c>
      <c r="F27" s="11" t="s">
        <v>66</v>
      </c>
      <c r="G27" s="6"/>
      <c r="H27" s="6"/>
      <c r="I27" s="6"/>
      <c r="J27" s="11" t="s">
        <v>137</v>
      </c>
      <c r="K27" s="11" t="s">
        <v>138</v>
      </c>
      <c r="L27" s="11" t="s">
        <v>40</v>
      </c>
      <c r="M27" s="12" t="s">
        <v>139</v>
      </c>
    </row>
    <row r="28" spans="1:13" x14ac:dyDescent="0.25">
      <c r="A28" s="10" t="s">
        <v>39</v>
      </c>
      <c r="B28" s="10" t="s">
        <v>57</v>
      </c>
      <c r="C28" s="10" t="s">
        <v>59</v>
      </c>
      <c r="D28" s="10" t="s">
        <v>92</v>
      </c>
      <c r="E28" s="11" t="s">
        <v>95</v>
      </c>
      <c r="F28" s="11" t="s">
        <v>66</v>
      </c>
      <c r="G28" s="6"/>
      <c r="H28" s="6"/>
      <c r="I28" s="6"/>
      <c r="J28" s="11" t="s">
        <v>137</v>
      </c>
      <c r="K28" s="11" t="s">
        <v>138</v>
      </c>
      <c r="L28" s="11" t="s">
        <v>40</v>
      </c>
      <c r="M28" s="12" t="s">
        <v>139</v>
      </c>
    </row>
    <row r="29" spans="1:13" x14ac:dyDescent="0.25">
      <c r="A29" s="10" t="s">
        <v>39</v>
      </c>
      <c r="B29" s="10" t="s">
        <v>57</v>
      </c>
      <c r="C29" s="10" t="s">
        <v>59</v>
      </c>
      <c r="D29" s="10" t="s">
        <v>92</v>
      </c>
      <c r="E29" s="11" t="s">
        <v>96</v>
      </c>
      <c r="F29" s="11" t="s">
        <v>66</v>
      </c>
      <c r="G29" s="6"/>
      <c r="H29" s="6"/>
      <c r="I29" s="6"/>
      <c r="J29" s="11" t="s">
        <v>137</v>
      </c>
      <c r="K29" s="11" t="s">
        <v>138</v>
      </c>
      <c r="L29" s="11" t="s">
        <v>40</v>
      </c>
      <c r="M29" s="12" t="s">
        <v>139</v>
      </c>
    </row>
    <row r="30" spans="1:13" x14ac:dyDescent="0.25">
      <c r="A30" s="10" t="s">
        <v>39</v>
      </c>
      <c r="B30" s="10" t="s">
        <v>57</v>
      </c>
      <c r="C30" s="10" t="s">
        <v>59</v>
      </c>
      <c r="D30" s="10" t="s">
        <v>92</v>
      </c>
      <c r="E30" s="11" t="s">
        <v>97</v>
      </c>
      <c r="F30" s="11" t="s">
        <v>66</v>
      </c>
      <c r="G30" s="6"/>
      <c r="H30" s="6"/>
      <c r="I30" s="6"/>
      <c r="J30" s="11" t="s">
        <v>137</v>
      </c>
      <c r="K30" s="11" t="s">
        <v>138</v>
      </c>
      <c r="L30" s="11" t="s">
        <v>40</v>
      </c>
      <c r="M30" s="12" t="s">
        <v>139</v>
      </c>
    </row>
    <row r="31" spans="1:13" x14ac:dyDescent="0.25">
      <c r="A31" s="10" t="s">
        <v>39</v>
      </c>
      <c r="B31" s="10" t="s">
        <v>57</v>
      </c>
      <c r="C31" s="10" t="s">
        <v>59</v>
      </c>
      <c r="D31" s="10" t="s">
        <v>92</v>
      </c>
      <c r="E31" s="11" t="s">
        <v>98</v>
      </c>
      <c r="F31" s="11" t="s">
        <v>66</v>
      </c>
      <c r="G31" s="6"/>
      <c r="H31" s="6"/>
      <c r="I31" s="6"/>
      <c r="J31" s="11" t="s">
        <v>137</v>
      </c>
      <c r="K31" s="11" t="s">
        <v>138</v>
      </c>
      <c r="L31" s="11" t="s">
        <v>40</v>
      </c>
      <c r="M31" s="12" t="s">
        <v>139</v>
      </c>
    </row>
    <row r="32" spans="1:13" x14ac:dyDescent="0.25">
      <c r="A32" s="10" t="s">
        <v>39</v>
      </c>
      <c r="B32" s="10" t="s">
        <v>57</v>
      </c>
      <c r="C32" s="10" t="s">
        <v>59</v>
      </c>
      <c r="D32" s="10" t="s">
        <v>92</v>
      </c>
      <c r="E32" s="11" t="s">
        <v>99</v>
      </c>
      <c r="F32" s="11" t="s">
        <v>66</v>
      </c>
      <c r="G32" s="6"/>
      <c r="H32" s="6"/>
      <c r="I32" s="6"/>
      <c r="J32" s="11" t="s">
        <v>137</v>
      </c>
      <c r="K32" s="11" t="s">
        <v>138</v>
      </c>
      <c r="L32" s="11" t="s">
        <v>40</v>
      </c>
      <c r="M32" s="12" t="s">
        <v>139</v>
      </c>
    </row>
    <row r="33" spans="1:13" x14ac:dyDescent="0.25">
      <c r="A33" s="10" t="s">
        <v>39</v>
      </c>
      <c r="B33" s="10" t="s">
        <v>57</v>
      </c>
      <c r="C33" s="10" t="s">
        <v>59</v>
      </c>
      <c r="D33" s="10" t="s">
        <v>92</v>
      </c>
      <c r="E33" s="11" t="s">
        <v>100</v>
      </c>
      <c r="F33" s="11" t="s">
        <v>66</v>
      </c>
      <c r="G33" s="6"/>
      <c r="H33" s="6"/>
      <c r="I33" s="6"/>
      <c r="J33" s="11" t="s">
        <v>137</v>
      </c>
      <c r="K33" s="11" t="s">
        <v>138</v>
      </c>
      <c r="L33" s="11" t="s">
        <v>40</v>
      </c>
      <c r="M33" s="12" t="s">
        <v>139</v>
      </c>
    </row>
    <row r="34" spans="1:13" x14ac:dyDescent="0.25">
      <c r="A34" s="10" t="s">
        <v>39</v>
      </c>
      <c r="B34" s="10" t="s">
        <v>57</v>
      </c>
      <c r="C34" s="10" t="s">
        <v>59</v>
      </c>
      <c r="D34" s="10" t="s">
        <v>101</v>
      </c>
      <c r="E34" s="11" t="s">
        <v>102</v>
      </c>
      <c r="F34" s="11" t="s">
        <v>66</v>
      </c>
      <c r="G34" s="6"/>
      <c r="H34" s="6"/>
      <c r="I34" s="6"/>
      <c r="J34" s="11" t="s">
        <v>137</v>
      </c>
      <c r="K34" s="11" t="s">
        <v>138</v>
      </c>
      <c r="L34" s="11" t="s">
        <v>40</v>
      </c>
      <c r="M34" s="12" t="s">
        <v>139</v>
      </c>
    </row>
    <row r="35" spans="1:13" x14ac:dyDescent="0.25">
      <c r="A35" s="10" t="s">
        <v>39</v>
      </c>
      <c r="B35" s="10" t="s">
        <v>57</v>
      </c>
      <c r="C35" s="10" t="s">
        <v>59</v>
      </c>
      <c r="D35" s="10" t="s">
        <v>101</v>
      </c>
      <c r="E35" s="11" t="s">
        <v>103</v>
      </c>
      <c r="F35" s="11" t="s">
        <v>66</v>
      </c>
      <c r="G35" s="6"/>
      <c r="H35" s="6"/>
      <c r="I35" s="6"/>
      <c r="J35" s="11" t="s">
        <v>137</v>
      </c>
      <c r="K35" s="11" t="s">
        <v>138</v>
      </c>
      <c r="L35" s="11" t="s">
        <v>40</v>
      </c>
      <c r="M35" s="12" t="s">
        <v>139</v>
      </c>
    </row>
    <row r="36" spans="1:13" x14ac:dyDescent="0.25">
      <c r="A36" s="10" t="s">
        <v>39</v>
      </c>
      <c r="B36" s="10" t="s">
        <v>57</v>
      </c>
      <c r="C36" s="10" t="s">
        <v>59</v>
      </c>
      <c r="D36" s="10" t="s">
        <v>101</v>
      </c>
      <c r="E36" s="11" t="s">
        <v>104</v>
      </c>
      <c r="F36" s="11" t="s">
        <v>66</v>
      </c>
      <c r="G36" s="6"/>
      <c r="H36" s="6"/>
      <c r="I36" s="6"/>
      <c r="J36" s="11" t="s">
        <v>137</v>
      </c>
      <c r="K36" s="11" t="s">
        <v>138</v>
      </c>
      <c r="L36" s="11" t="s">
        <v>40</v>
      </c>
      <c r="M36" s="12" t="s">
        <v>139</v>
      </c>
    </row>
    <row r="37" spans="1:13" x14ac:dyDescent="0.25">
      <c r="A37" s="10" t="s">
        <v>39</v>
      </c>
      <c r="B37" s="10" t="s">
        <v>57</v>
      </c>
      <c r="C37" s="10" t="s">
        <v>59</v>
      </c>
      <c r="D37" s="10" t="s">
        <v>101</v>
      </c>
      <c r="E37" s="11" t="s">
        <v>105</v>
      </c>
      <c r="F37" s="11" t="s">
        <v>66</v>
      </c>
      <c r="G37" s="6"/>
      <c r="H37" s="6"/>
      <c r="I37" s="6"/>
      <c r="J37" s="11" t="s">
        <v>137</v>
      </c>
      <c r="K37" s="11" t="s">
        <v>138</v>
      </c>
      <c r="L37" s="11" t="s">
        <v>40</v>
      </c>
      <c r="M37" s="12" t="s">
        <v>139</v>
      </c>
    </row>
    <row r="38" spans="1:13" x14ac:dyDescent="0.25">
      <c r="A38" s="10" t="s">
        <v>39</v>
      </c>
      <c r="B38" s="10" t="s">
        <v>57</v>
      </c>
      <c r="C38" s="10" t="s">
        <v>59</v>
      </c>
      <c r="D38" s="10" t="s">
        <v>101</v>
      </c>
      <c r="E38" s="11" t="s">
        <v>106</v>
      </c>
      <c r="F38" s="11" t="s">
        <v>66</v>
      </c>
      <c r="G38" s="6"/>
      <c r="H38" s="6"/>
      <c r="I38" s="6"/>
      <c r="J38" s="11" t="s">
        <v>137</v>
      </c>
      <c r="K38" s="11" t="s">
        <v>138</v>
      </c>
      <c r="L38" s="11" t="s">
        <v>40</v>
      </c>
      <c r="M38" s="12" t="s">
        <v>139</v>
      </c>
    </row>
    <row r="39" spans="1:13" x14ac:dyDescent="0.25">
      <c r="A39" s="10" t="s">
        <v>39</v>
      </c>
      <c r="B39" s="10" t="s">
        <v>57</v>
      </c>
      <c r="C39" s="10" t="s">
        <v>59</v>
      </c>
      <c r="D39" s="10" t="s">
        <v>101</v>
      </c>
      <c r="E39" s="11" t="s">
        <v>107</v>
      </c>
      <c r="F39" s="11" t="s">
        <v>66</v>
      </c>
      <c r="G39" s="6"/>
      <c r="H39" s="6"/>
      <c r="I39" s="6"/>
      <c r="J39" s="11" t="s">
        <v>137</v>
      </c>
      <c r="K39" s="11" t="s">
        <v>138</v>
      </c>
      <c r="L39" s="11" t="s">
        <v>40</v>
      </c>
      <c r="M39" s="12" t="s">
        <v>139</v>
      </c>
    </row>
    <row r="40" spans="1:13" x14ac:dyDescent="0.25">
      <c r="A40" s="10" t="s">
        <v>39</v>
      </c>
      <c r="B40" s="10" t="s">
        <v>57</v>
      </c>
      <c r="C40" s="10" t="s">
        <v>59</v>
      </c>
      <c r="D40" s="10" t="s">
        <v>101</v>
      </c>
      <c r="E40" s="11" t="s">
        <v>108</v>
      </c>
      <c r="F40" s="11" t="s">
        <v>66</v>
      </c>
      <c r="G40" s="6"/>
      <c r="H40" s="6"/>
      <c r="I40" s="6"/>
      <c r="J40" s="11" t="s">
        <v>137</v>
      </c>
      <c r="K40" s="11" t="s">
        <v>138</v>
      </c>
      <c r="L40" s="11" t="s">
        <v>40</v>
      </c>
      <c r="M40" s="12" t="s">
        <v>139</v>
      </c>
    </row>
    <row r="41" spans="1:13" x14ac:dyDescent="0.25">
      <c r="A41" s="10" t="s">
        <v>39</v>
      </c>
      <c r="B41" s="10" t="s">
        <v>57</v>
      </c>
      <c r="C41" s="10" t="s">
        <v>59</v>
      </c>
      <c r="D41" s="10" t="s">
        <v>101</v>
      </c>
      <c r="E41" s="11" t="s">
        <v>109</v>
      </c>
      <c r="F41" s="11" t="s">
        <v>66</v>
      </c>
      <c r="G41" s="6"/>
      <c r="H41" s="6"/>
      <c r="I41" s="6"/>
      <c r="J41" s="11" t="s">
        <v>137</v>
      </c>
      <c r="K41" s="11" t="s">
        <v>138</v>
      </c>
      <c r="L41" s="11" t="s">
        <v>40</v>
      </c>
      <c r="M41" s="12" t="s">
        <v>139</v>
      </c>
    </row>
    <row r="42" spans="1:13" x14ac:dyDescent="0.25">
      <c r="A42" s="10" t="s">
        <v>39</v>
      </c>
      <c r="B42" s="10" t="s">
        <v>57</v>
      </c>
      <c r="C42" s="10" t="s">
        <v>59</v>
      </c>
      <c r="D42" s="10" t="s">
        <v>110</v>
      </c>
      <c r="E42" s="11" t="s">
        <v>111</v>
      </c>
      <c r="F42" s="11" t="s">
        <v>66</v>
      </c>
      <c r="G42" s="6"/>
      <c r="H42" s="6"/>
      <c r="I42" s="6"/>
      <c r="J42" s="11" t="s">
        <v>137</v>
      </c>
      <c r="K42" s="11" t="s">
        <v>138</v>
      </c>
      <c r="L42" s="11" t="s">
        <v>40</v>
      </c>
      <c r="M42" s="12" t="s">
        <v>139</v>
      </c>
    </row>
    <row r="43" spans="1:13" x14ac:dyDescent="0.25">
      <c r="A43" s="10" t="s">
        <v>39</v>
      </c>
      <c r="B43" s="10" t="s">
        <v>57</v>
      </c>
      <c r="C43" s="10" t="s">
        <v>59</v>
      </c>
      <c r="D43" s="10" t="s">
        <v>110</v>
      </c>
      <c r="E43" s="11" t="s">
        <v>112</v>
      </c>
      <c r="F43" s="11" t="s">
        <v>66</v>
      </c>
      <c r="G43" s="6"/>
      <c r="H43" s="6"/>
      <c r="I43" s="6"/>
      <c r="J43" s="11" t="s">
        <v>137</v>
      </c>
      <c r="K43" s="11" t="s">
        <v>138</v>
      </c>
      <c r="L43" s="11" t="s">
        <v>40</v>
      </c>
      <c r="M43" s="12" t="s">
        <v>139</v>
      </c>
    </row>
    <row r="44" spans="1:13" x14ac:dyDescent="0.25">
      <c r="A44" s="10" t="s">
        <v>39</v>
      </c>
      <c r="B44" s="10" t="s">
        <v>57</v>
      </c>
      <c r="C44" s="10" t="s">
        <v>59</v>
      </c>
      <c r="D44" s="10" t="s">
        <v>110</v>
      </c>
      <c r="E44" s="11" t="s">
        <v>113</v>
      </c>
      <c r="F44" s="11" t="s">
        <v>66</v>
      </c>
      <c r="G44" s="6"/>
      <c r="H44" s="6"/>
      <c r="I44" s="6"/>
      <c r="J44" s="11" t="s">
        <v>137</v>
      </c>
      <c r="K44" s="11" t="s">
        <v>138</v>
      </c>
      <c r="L44" s="11" t="s">
        <v>40</v>
      </c>
      <c r="M44" s="12" t="s">
        <v>139</v>
      </c>
    </row>
    <row r="45" spans="1:13" x14ac:dyDescent="0.25">
      <c r="A45" s="10" t="s">
        <v>39</v>
      </c>
      <c r="B45" s="10" t="s">
        <v>57</v>
      </c>
      <c r="C45" s="10" t="s">
        <v>59</v>
      </c>
      <c r="D45" s="10" t="s">
        <v>110</v>
      </c>
      <c r="E45" s="11" t="s">
        <v>114</v>
      </c>
      <c r="F45" s="11" t="s">
        <v>66</v>
      </c>
      <c r="G45" s="6"/>
      <c r="H45" s="6"/>
      <c r="I45" s="6"/>
      <c r="J45" s="11" t="s">
        <v>137</v>
      </c>
      <c r="K45" s="11" t="s">
        <v>138</v>
      </c>
      <c r="L45" s="11" t="s">
        <v>40</v>
      </c>
      <c r="M45" s="12" t="s">
        <v>139</v>
      </c>
    </row>
    <row r="46" spans="1:13" x14ac:dyDescent="0.25">
      <c r="A46" s="10" t="s">
        <v>39</v>
      </c>
      <c r="B46" s="10" t="s">
        <v>57</v>
      </c>
      <c r="C46" s="10" t="s">
        <v>59</v>
      </c>
      <c r="D46" s="10" t="s">
        <v>110</v>
      </c>
      <c r="E46" s="11" t="s">
        <v>115</v>
      </c>
      <c r="F46" s="11" t="s">
        <v>66</v>
      </c>
      <c r="G46" s="6"/>
      <c r="H46" s="6"/>
      <c r="I46" s="6"/>
      <c r="J46" s="11" t="s">
        <v>137</v>
      </c>
      <c r="K46" s="11" t="s">
        <v>138</v>
      </c>
      <c r="L46" s="11" t="s">
        <v>40</v>
      </c>
      <c r="M46" s="12" t="s">
        <v>139</v>
      </c>
    </row>
    <row r="47" spans="1:13" x14ac:dyDescent="0.25">
      <c r="A47" s="10" t="s">
        <v>39</v>
      </c>
      <c r="B47" s="10" t="s">
        <v>57</v>
      </c>
      <c r="C47" s="10" t="s">
        <v>59</v>
      </c>
      <c r="D47" s="10" t="s">
        <v>110</v>
      </c>
      <c r="E47" s="11" t="s">
        <v>116</v>
      </c>
      <c r="F47" s="11" t="s">
        <v>66</v>
      </c>
      <c r="G47" s="6"/>
      <c r="H47" s="6"/>
      <c r="I47" s="6"/>
      <c r="J47" s="11" t="s">
        <v>137</v>
      </c>
      <c r="K47" s="11" t="s">
        <v>138</v>
      </c>
      <c r="L47" s="11" t="s">
        <v>40</v>
      </c>
      <c r="M47" s="12" t="s">
        <v>139</v>
      </c>
    </row>
    <row r="48" spans="1:13" x14ac:dyDescent="0.25">
      <c r="A48" s="10" t="s">
        <v>39</v>
      </c>
      <c r="B48" s="10" t="s">
        <v>57</v>
      </c>
      <c r="C48" s="10" t="s">
        <v>59</v>
      </c>
      <c r="D48" s="10" t="s">
        <v>110</v>
      </c>
      <c r="E48" s="11" t="s">
        <v>117</v>
      </c>
      <c r="F48" s="11" t="s">
        <v>66</v>
      </c>
      <c r="G48" s="6"/>
      <c r="H48" s="6"/>
      <c r="I48" s="6"/>
      <c r="J48" s="11" t="s">
        <v>137</v>
      </c>
      <c r="K48" s="11" t="s">
        <v>138</v>
      </c>
      <c r="L48" s="11" t="s">
        <v>40</v>
      </c>
      <c r="M48" s="12" t="s">
        <v>139</v>
      </c>
    </row>
    <row r="49" spans="1:13" x14ac:dyDescent="0.25">
      <c r="A49" s="10" t="s">
        <v>39</v>
      </c>
      <c r="B49" s="10" t="s">
        <v>57</v>
      </c>
      <c r="C49" s="10" t="s">
        <v>59</v>
      </c>
      <c r="D49" s="10" t="s">
        <v>110</v>
      </c>
      <c r="E49" s="11" t="s">
        <v>118</v>
      </c>
      <c r="F49" s="11" t="s">
        <v>66</v>
      </c>
      <c r="G49" s="6"/>
      <c r="H49" s="6"/>
      <c r="I49" s="6"/>
      <c r="J49" s="11" t="s">
        <v>137</v>
      </c>
      <c r="K49" s="11" t="s">
        <v>138</v>
      </c>
      <c r="L49" s="11" t="s">
        <v>40</v>
      </c>
      <c r="M49" s="12" t="s">
        <v>139</v>
      </c>
    </row>
    <row r="50" spans="1:13" x14ac:dyDescent="0.25">
      <c r="A50" s="10" t="s">
        <v>39</v>
      </c>
      <c r="B50" s="10" t="s">
        <v>57</v>
      </c>
      <c r="C50" s="10" t="s">
        <v>59</v>
      </c>
      <c r="D50" s="10" t="s">
        <v>119</v>
      </c>
      <c r="E50" s="11" t="s">
        <v>120</v>
      </c>
      <c r="F50" s="11" t="s">
        <v>66</v>
      </c>
      <c r="G50" s="6"/>
      <c r="H50" s="6"/>
      <c r="I50" s="6"/>
      <c r="J50" s="11" t="s">
        <v>137</v>
      </c>
      <c r="K50" s="11" t="s">
        <v>138</v>
      </c>
      <c r="L50" s="11" t="s">
        <v>40</v>
      </c>
      <c r="M50" s="12" t="s">
        <v>139</v>
      </c>
    </row>
    <row r="51" spans="1:13" x14ac:dyDescent="0.25">
      <c r="A51" s="10" t="s">
        <v>39</v>
      </c>
      <c r="B51" s="10" t="s">
        <v>57</v>
      </c>
      <c r="C51" s="10" t="s">
        <v>59</v>
      </c>
      <c r="D51" s="10" t="s">
        <v>119</v>
      </c>
      <c r="E51" s="11" t="s">
        <v>121</v>
      </c>
      <c r="F51" s="11" t="s">
        <v>66</v>
      </c>
      <c r="G51" s="6"/>
      <c r="H51" s="6"/>
      <c r="I51" s="6"/>
      <c r="J51" s="11" t="s">
        <v>137</v>
      </c>
      <c r="K51" s="11" t="s">
        <v>138</v>
      </c>
      <c r="L51" s="11" t="s">
        <v>40</v>
      </c>
      <c r="M51" s="12" t="s">
        <v>139</v>
      </c>
    </row>
    <row r="52" spans="1:13" x14ac:dyDescent="0.25">
      <c r="A52" s="10" t="s">
        <v>39</v>
      </c>
      <c r="B52" s="10" t="s">
        <v>57</v>
      </c>
      <c r="C52" s="10" t="s">
        <v>59</v>
      </c>
      <c r="D52" s="10" t="s">
        <v>119</v>
      </c>
      <c r="E52" s="11" t="s">
        <v>122</v>
      </c>
      <c r="F52" s="11" t="s">
        <v>66</v>
      </c>
      <c r="G52" s="6"/>
      <c r="H52" s="6"/>
      <c r="I52" s="6"/>
      <c r="J52" s="11" t="s">
        <v>137</v>
      </c>
      <c r="K52" s="11" t="s">
        <v>138</v>
      </c>
      <c r="L52" s="11" t="s">
        <v>40</v>
      </c>
      <c r="M52" s="12" t="s">
        <v>139</v>
      </c>
    </row>
    <row r="53" spans="1:13" x14ac:dyDescent="0.25">
      <c r="A53" s="10" t="s">
        <v>39</v>
      </c>
      <c r="B53" s="10" t="s">
        <v>57</v>
      </c>
      <c r="C53" s="10" t="s">
        <v>59</v>
      </c>
      <c r="D53" s="10" t="s">
        <v>119</v>
      </c>
      <c r="E53" s="11" t="s">
        <v>123</v>
      </c>
      <c r="F53" s="11" t="s">
        <v>66</v>
      </c>
      <c r="G53" s="6"/>
      <c r="H53" s="6"/>
      <c r="I53" s="6"/>
      <c r="J53" s="11" t="s">
        <v>137</v>
      </c>
      <c r="K53" s="11" t="s">
        <v>138</v>
      </c>
      <c r="L53" s="11" t="s">
        <v>40</v>
      </c>
      <c r="M53" s="12" t="s">
        <v>139</v>
      </c>
    </row>
    <row r="54" spans="1:13" x14ac:dyDescent="0.25">
      <c r="A54" s="10" t="s">
        <v>39</v>
      </c>
      <c r="B54" s="10" t="s">
        <v>57</v>
      </c>
      <c r="C54" s="10" t="s">
        <v>59</v>
      </c>
      <c r="D54" s="10" t="s">
        <v>119</v>
      </c>
      <c r="E54" s="11" t="s">
        <v>124</v>
      </c>
      <c r="F54" s="11" t="s">
        <v>66</v>
      </c>
      <c r="G54" s="6"/>
      <c r="H54" s="6"/>
      <c r="I54" s="6"/>
      <c r="J54" s="11" t="s">
        <v>137</v>
      </c>
      <c r="K54" s="11" t="s">
        <v>138</v>
      </c>
      <c r="L54" s="11" t="s">
        <v>40</v>
      </c>
      <c r="M54" s="12" t="s">
        <v>139</v>
      </c>
    </row>
    <row r="55" spans="1:13" x14ac:dyDescent="0.25">
      <c r="A55" s="10" t="s">
        <v>39</v>
      </c>
      <c r="B55" s="10" t="s">
        <v>57</v>
      </c>
      <c r="C55" s="10" t="s">
        <v>59</v>
      </c>
      <c r="D55" s="10" t="s">
        <v>119</v>
      </c>
      <c r="E55" s="11" t="s">
        <v>125</v>
      </c>
      <c r="F55" s="11" t="s">
        <v>66</v>
      </c>
      <c r="G55" s="6"/>
      <c r="H55" s="6"/>
      <c r="I55" s="6"/>
      <c r="J55" s="11" t="s">
        <v>137</v>
      </c>
      <c r="K55" s="11" t="s">
        <v>138</v>
      </c>
      <c r="L55" s="11" t="s">
        <v>40</v>
      </c>
      <c r="M55" s="12" t="s">
        <v>139</v>
      </c>
    </row>
    <row r="56" spans="1:13" x14ac:dyDescent="0.25">
      <c r="A56" s="10" t="s">
        <v>39</v>
      </c>
      <c r="B56" s="10" t="s">
        <v>57</v>
      </c>
      <c r="C56" s="10" t="s">
        <v>59</v>
      </c>
      <c r="D56" s="10" t="s">
        <v>119</v>
      </c>
      <c r="E56" s="11" t="s">
        <v>126</v>
      </c>
      <c r="F56" s="11" t="s">
        <v>66</v>
      </c>
      <c r="G56" s="6"/>
      <c r="H56" s="6"/>
      <c r="I56" s="6"/>
      <c r="J56" s="11" t="s">
        <v>137</v>
      </c>
      <c r="K56" s="11" t="s">
        <v>138</v>
      </c>
      <c r="L56" s="11" t="s">
        <v>40</v>
      </c>
      <c r="M56" s="12" t="s">
        <v>139</v>
      </c>
    </row>
    <row r="57" spans="1:13" x14ac:dyDescent="0.25">
      <c r="A57" s="10" t="s">
        <v>39</v>
      </c>
      <c r="B57" s="10" t="s">
        <v>57</v>
      </c>
      <c r="C57" s="10" t="s">
        <v>59</v>
      </c>
      <c r="D57" s="10" t="s">
        <v>119</v>
      </c>
      <c r="E57" s="11" t="s">
        <v>127</v>
      </c>
      <c r="F57" s="11" t="s">
        <v>66</v>
      </c>
      <c r="G57" s="6"/>
      <c r="H57" s="6"/>
      <c r="I57" s="6"/>
      <c r="J57" s="11" t="s">
        <v>137</v>
      </c>
      <c r="K57" s="11" t="s">
        <v>138</v>
      </c>
      <c r="L57" s="11" t="s">
        <v>40</v>
      </c>
      <c r="M57" s="12" t="s">
        <v>139</v>
      </c>
    </row>
    <row r="58" spans="1:13" x14ac:dyDescent="0.25">
      <c r="A58" s="10" t="s">
        <v>39</v>
      </c>
      <c r="B58" s="10" t="s">
        <v>57</v>
      </c>
      <c r="C58" s="10" t="s">
        <v>59</v>
      </c>
      <c r="D58" s="10" t="s">
        <v>128</v>
      </c>
      <c r="E58" s="11" t="s">
        <v>129</v>
      </c>
      <c r="F58" s="11" t="s">
        <v>66</v>
      </c>
      <c r="G58" s="6"/>
      <c r="H58" s="6"/>
      <c r="I58" s="6"/>
      <c r="J58" s="11" t="s">
        <v>137</v>
      </c>
      <c r="K58" s="11" t="s">
        <v>138</v>
      </c>
      <c r="L58" s="11" t="s">
        <v>40</v>
      </c>
      <c r="M58" s="12" t="s">
        <v>139</v>
      </c>
    </row>
    <row r="59" spans="1:13" x14ac:dyDescent="0.25">
      <c r="A59" s="10" t="s">
        <v>39</v>
      </c>
      <c r="B59" s="10" t="s">
        <v>57</v>
      </c>
      <c r="C59" s="10" t="s">
        <v>59</v>
      </c>
      <c r="D59" s="10" t="s">
        <v>128</v>
      </c>
      <c r="E59" s="11" t="s">
        <v>130</v>
      </c>
      <c r="F59" s="11" t="s">
        <v>66</v>
      </c>
      <c r="G59" s="6"/>
      <c r="H59" s="6"/>
      <c r="I59" s="6"/>
      <c r="J59" s="11" t="s">
        <v>137</v>
      </c>
      <c r="K59" s="11" t="s">
        <v>138</v>
      </c>
      <c r="L59" s="11" t="s">
        <v>40</v>
      </c>
      <c r="M59" s="12" t="s">
        <v>139</v>
      </c>
    </row>
    <row r="60" spans="1:13" x14ac:dyDescent="0.25">
      <c r="A60" s="10" t="s">
        <v>39</v>
      </c>
      <c r="B60" s="10" t="s">
        <v>57</v>
      </c>
      <c r="C60" s="10" t="s">
        <v>59</v>
      </c>
      <c r="D60" s="10" t="s">
        <v>128</v>
      </c>
      <c r="E60" s="11" t="s">
        <v>131</v>
      </c>
      <c r="F60" s="11" t="s">
        <v>66</v>
      </c>
      <c r="G60" s="6"/>
      <c r="H60" s="6"/>
      <c r="I60" s="6"/>
      <c r="J60" s="11" t="s">
        <v>137</v>
      </c>
      <c r="K60" s="11" t="s">
        <v>138</v>
      </c>
      <c r="L60" s="11" t="s">
        <v>40</v>
      </c>
      <c r="M60" s="12" t="s">
        <v>139</v>
      </c>
    </row>
    <row r="61" spans="1:13" x14ac:dyDescent="0.25">
      <c r="A61" s="10" t="s">
        <v>39</v>
      </c>
      <c r="B61" s="10" t="s">
        <v>57</v>
      </c>
      <c r="C61" s="10" t="s">
        <v>59</v>
      </c>
      <c r="D61" s="10" t="s">
        <v>128</v>
      </c>
      <c r="E61" s="11" t="s">
        <v>132</v>
      </c>
      <c r="F61" s="11" t="s">
        <v>66</v>
      </c>
      <c r="G61" s="6"/>
      <c r="H61" s="6"/>
      <c r="I61" s="6"/>
      <c r="J61" s="11" t="s">
        <v>137</v>
      </c>
      <c r="K61" s="11" t="s">
        <v>138</v>
      </c>
      <c r="L61" s="11" t="s">
        <v>40</v>
      </c>
      <c r="M61" s="12" t="s">
        <v>139</v>
      </c>
    </row>
    <row r="62" spans="1:13" x14ac:dyDescent="0.25">
      <c r="A62" s="10" t="s">
        <v>39</v>
      </c>
      <c r="B62" s="10" t="s">
        <v>57</v>
      </c>
      <c r="C62" s="10" t="s">
        <v>59</v>
      </c>
      <c r="D62" s="10" t="s">
        <v>128</v>
      </c>
      <c r="E62" s="11" t="s">
        <v>133</v>
      </c>
      <c r="F62" s="11" t="s">
        <v>66</v>
      </c>
      <c r="G62" s="6"/>
      <c r="H62" s="6"/>
      <c r="I62" s="6"/>
      <c r="J62" s="11" t="s">
        <v>137</v>
      </c>
      <c r="K62" s="11" t="s">
        <v>138</v>
      </c>
      <c r="L62" s="11" t="s">
        <v>40</v>
      </c>
      <c r="M62" s="12" t="s">
        <v>139</v>
      </c>
    </row>
    <row r="63" spans="1:13" x14ac:dyDescent="0.25">
      <c r="A63" s="10" t="s">
        <v>39</v>
      </c>
      <c r="B63" s="10" t="s">
        <v>57</v>
      </c>
      <c r="C63" s="10" t="s">
        <v>59</v>
      </c>
      <c r="D63" s="10" t="s">
        <v>128</v>
      </c>
      <c r="E63" s="11" t="s">
        <v>134</v>
      </c>
      <c r="F63" s="11" t="s">
        <v>66</v>
      </c>
      <c r="G63" s="6"/>
      <c r="H63" s="6"/>
      <c r="I63" s="6"/>
      <c r="J63" s="11" t="s">
        <v>137</v>
      </c>
      <c r="K63" s="11" t="s">
        <v>138</v>
      </c>
      <c r="L63" s="11" t="s">
        <v>40</v>
      </c>
      <c r="M63" s="12" t="s">
        <v>139</v>
      </c>
    </row>
    <row r="64" spans="1:13" x14ac:dyDescent="0.25">
      <c r="A64" s="10" t="s">
        <v>39</v>
      </c>
      <c r="B64" s="10" t="s">
        <v>57</v>
      </c>
      <c r="C64" s="10" t="s">
        <v>59</v>
      </c>
      <c r="D64" s="10" t="s">
        <v>128</v>
      </c>
      <c r="E64" s="11" t="s">
        <v>135</v>
      </c>
      <c r="F64" s="11" t="s">
        <v>66</v>
      </c>
      <c r="G64" s="6"/>
      <c r="H64" s="6"/>
      <c r="I64" s="6"/>
      <c r="J64" s="11" t="s">
        <v>137</v>
      </c>
      <c r="K64" s="11" t="s">
        <v>138</v>
      </c>
      <c r="L64" s="11" t="s">
        <v>40</v>
      </c>
      <c r="M64" s="12" t="s">
        <v>139</v>
      </c>
    </row>
    <row r="65" spans="1:13" x14ac:dyDescent="0.25">
      <c r="A65" s="10" t="s">
        <v>39</v>
      </c>
      <c r="B65" s="10" t="s">
        <v>57</v>
      </c>
      <c r="C65" s="10" t="s">
        <v>59</v>
      </c>
      <c r="D65" s="10" t="s">
        <v>128</v>
      </c>
      <c r="E65" s="11" t="s">
        <v>136</v>
      </c>
      <c r="F65" s="11" t="s">
        <v>66</v>
      </c>
      <c r="G65" s="6"/>
      <c r="H65" s="6"/>
      <c r="I65" s="6"/>
      <c r="J65" s="11" t="s">
        <v>137</v>
      </c>
      <c r="K65" s="11" t="s">
        <v>138</v>
      </c>
      <c r="L65" s="11" t="s">
        <v>40</v>
      </c>
      <c r="M65" s="12" t="s">
        <v>139</v>
      </c>
    </row>
  </sheetData>
  <conditionalFormatting sqref="E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/>
  </sheetViews>
  <sheetFormatPr defaultRowHeight="15" x14ac:dyDescent="0.25"/>
  <cols>
    <col min="1" max="1" width="8.5703125" bestFit="1" customWidth="1"/>
    <col min="2" max="2" width="38.85546875" customWidth="1"/>
    <col min="3" max="4" width="17" customWidth="1"/>
    <col min="5" max="6" width="11.42578125" customWidth="1"/>
    <col min="7" max="7" width="19.85546875" customWidth="1"/>
    <col min="8" max="8" width="21.140625" bestFit="1" customWidth="1"/>
    <col min="9" max="9" width="17.85546875" bestFit="1" customWidth="1"/>
    <col min="10" max="10" width="31.28515625" bestFit="1" customWidth="1"/>
  </cols>
  <sheetData>
    <row r="1" spans="1:10" x14ac:dyDescent="0.25">
      <c r="A1" s="7" t="s">
        <v>0</v>
      </c>
      <c r="B1" s="7" t="s">
        <v>53</v>
      </c>
      <c r="C1" s="7" t="s">
        <v>11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</row>
    <row r="2" spans="1:10" x14ac:dyDescent="0.25">
      <c r="A2" s="6">
        <v>1</v>
      </c>
      <c r="B2" s="4" t="s">
        <v>54</v>
      </c>
      <c r="C2" s="4"/>
      <c r="D2" s="4"/>
      <c r="E2" s="8"/>
      <c r="F2" s="6"/>
      <c r="G2" s="3" t="s">
        <v>49</v>
      </c>
      <c r="H2" s="6" t="s">
        <v>50</v>
      </c>
      <c r="I2" s="6"/>
      <c r="J2" s="9" t="s">
        <v>51</v>
      </c>
    </row>
    <row r="3" spans="1:10" x14ac:dyDescent="0.25">
      <c r="A3" s="6">
        <v>2</v>
      </c>
      <c r="B3" s="4" t="s">
        <v>54</v>
      </c>
      <c r="C3" s="4"/>
      <c r="D3" s="4"/>
      <c r="E3" s="8"/>
      <c r="F3" s="6"/>
      <c r="G3" s="3" t="s">
        <v>49</v>
      </c>
      <c r="H3" s="6" t="s">
        <v>50</v>
      </c>
      <c r="I3" s="6"/>
      <c r="J3" s="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GPON</vt:lpstr>
      <vt:lpstr>Measurement</vt:lpstr>
      <vt:lpstr>Nesa</vt:lpstr>
      <vt:lpstr>POLE</vt:lpstr>
    </vt:vector>
  </TitlesOfParts>
  <Company>Bharti Airtel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Gupta</dc:creator>
  <cp:lastModifiedBy>Mdfaisan Hussain (Consultant)</cp:lastModifiedBy>
  <dcterms:created xsi:type="dcterms:W3CDTF">2025-07-28T10:42:29Z</dcterms:created>
  <dcterms:modified xsi:type="dcterms:W3CDTF">2025-11-04T10:53:21Z</dcterms:modified>
</cp:coreProperties>
</file>